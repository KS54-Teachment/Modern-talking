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бращений" sheetId="1" state="visible" r:id="rId1"/>
  </sheets>
  <definedNames>
    <definedName name="_xlnm._FilterDatabase" localSheetId="0" hidden="1">'Журнал обращений'!$A$2:$E$14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14" customWidth="1" min="4" max="4"/>
    <col width="22" customWidth="1" min="5" max="5"/>
  </cols>
  <sheetData>
    <row r="1" ht="28" customHeight="1">
      <c r="A1" s="1" t="inlineStr">
        <is>
          <t>Журнал обращений пользователей — команда «Modern talking» (DigitalSupport-Team-7)</t>
        </is>
      </c>
    </row>
    <row r="2">
      <c r="A2" s="2" t="inlineStr">
        <is>
          <t>ID</t>
        </is>
      </c>
      <c r="B2" s="2" t="inlineStr">
        <is>
          <t>Пользователь</t>
        </is>
      </c>
      <c r="C2" s="2" t="inlineStr">
        <is>
          <t>Проблема</t>
        </is>
      </c>
      <c r="D2" s="2" t="inlineStr">
        <is>
          <t>Статус</t>
        </is>
      </c>
      <c r="E2" s="2" t="inlineStr">
        <is>
          <t>Ответственный</t>
        </is>
      </c>
    </row>
    <row r="3">
      <c r="A3" s="3" t="n">
        <v>1</v>
      </c>
      <c r="B3" s="4" t="inlineStr">
        <is>
          <t>Иванов И.П.</t>
        </is>
      </c>
      <c r="C3" s="4" t="inlineStr">
        <is>
          <t>Не могу войти в Госуслуги</t>
        </is>
      </c>
      <c r="D3" s="3" t="inlineStr">
        <is>
          <t>Решено</t>
        </is>
      </c>
      <c r="E3" s="4" t="inlineStr">
        <is>
          <t>Яноха Денис</t>
        </is>
      </c>
    </row>
    <row r="4">
      <c r="A4" s="5" t="n">
        <v>2</v>
      </c>
      <c r="B4" s="6" t="inlineStr">
        <is>
          <t>Петрова М.С.</t>
        </is>
      </c>
      <c r="C4" s="6" t="inlineStr">
        <is>
          <t>Забыл пароль от почты</t>
        </is>
      </c>
      <c r="D4" s="5" t="inlineStr">
        <is>
          <t>В работе</t>
        </is>
      </c>
      <c r="E4" s="6" t="inlineStr">
        <is>
          <t>Яноха Денис</t>
        </is>
      </c>
    </row>
    <row r="5">
      <c r="A5" s="3" t="n">
        <v>3</v>
      </c>
      <c r="B5" s="4" t="inlineStr">
        <is>
          <t>Сидоров А.В.</t>
        </is>
      </c>
      <c r="C5" s="4" t="inlineStr">
        <is>
          <t>Не работает интернет</t>
        </is>
      </c>
      <c r="D5" s="3" t="inlineStr">
        <is>
          <t>Новое</t>
        </is>
      </c>
      <c r="E5" s="4" t="inlineStr">
        <is>
          <t>Комиссаров Илья</t>
        </is>
      </c>
    </row>
    <row r="6">
      <c r="A6" s="5" t="n">
        <v>4</v>
      </c>
      <c r="B6" s="6" t="inlineStr">
        <is>
          <t>Кузнецова О.И.</t>
        </is>
      </c>
      <c r="C6" s="6" t="inlineStr">
        <is>
          <t>Подозрительное письмо от банка</t>
        </is>
      </c>
      <c r="D6" s="5" t="inlineStr">
        <is>
          <t>Решено</t>
        </is>
      </c>
      <c r="E6" s="6" t="inlineStr">
        <is>
          <t>Чернов Матвей</t>
        </is>
      </c>
    </row>
    <row r="7">
      <c r="A7" s="3" t="n">
        <v>5</v>
      </c>
      <c r="B7" s="4" t="inlineStr">
        <is>
          <t>Морозов С.Н.</t>
        </is>
      </c>
      <c r="C7" s="4" t="inlineStr">
        <is>
          <t>Как установить приложение</t>
        </is>
      </c>
      <c r="D7" s="3" t="inlineStr">
        <is>
          <t>В работе</t>
        </is>
      </c>
      <c r="E7" s="4" t="inlineStr">
        <is>
          <t>Комиссаров Илья</t>
        </is>
      </c>
    </row>
    <row r="8">
      <c r="A8" s="5" t="n">
        <v>6</v>
      </c>
      <c r="B8" s="6" t="inlineStr">
        <is>
          <t>Волкова Т.П.</t>
        </is>
      </c>
      <c r="C8" s="6" t="inlineStr">
        <is>
          <t>Как записаться к врачу</t>
        </is>
      </c>
      <c r="D8" s="5" t="inlineStr">
        <is>
          <t>Новое</t>
        </is>
      </c>
      <c r="E8" s="6" t="inlineStr">
        <is>
          <t>Чирков Костя</t>
        </is>
      </c>
    </row>
    <row r="9">
      <c r="A9" s="3" t="n">
        <v>7</v>
      </c>
      <c r="B9" s="4" t="inlineStr">
        <is>
          <t>Новиков П.Р.</t>
        </is>
      </c>
      <c r="C9" s="4" t="inlineStr">
        <is>
          <t>Как оплатить ЖКХ</t>
        </is>
      </c>
      <c r="D9" s="3" t="inlineStr">
        <is>
          <t>Решено</t>
        </is>
      </c>
      <c r="E9" s="4" t="inlineStr">
        <is>
          <t>Яноха Денис</t>
        </is>
      </c>
    </row>
    <row r="10">
      <c r="A10" s="5" t="n">
        <v>8</v>
      </c>
      <c r="B10" s="6" t="inlineStr">
        <is>
          <t>Зайцева Л.А.</t>
        </is>
      </c>
      <c r="C10" s="6" t="inlineStr">
        <is>
          <t>Как создать надёжный пароль</t>
        </is>
      </c>
      <c r="D10" s="5" t="inlineStr">
        <is>
          <t>В работе</t>
        </is>
      </c>
      <c r="E10" s="6" t="inlineStr">
        <is>
          <t>Чернов Матвей</t>
        </is>
      </c>
    </row>
    <row r="11">
      <c r="A11" s="3" t="n">
        <v>9</v>
      </c>
      <c r="B11" s="4" t="inlineStr">
        <is>
          <t>Соловьёв В.Г.</t>
        </is>
      </c>
      <c r="C11" s="4" t="inlineStr">
        <is>
          <t>Как пользоваться облачным диском</t>
        </is>
      </c>
      <c r="D11" s="3" t="inlineStr">
        <is>
          <t>Новое</t>
        </is>
      </c>
      <c r="E11" s="4" t="inlineStr">
        <is>
          <t>Комиссаров Илья</t>
        </is>
      </c>
    </row>
    <row r="12">
      <c r="A12" s="5" t="n">
        <v>10</v>
      </c>
      <c r="B12" s="6" t="inlineStr">
        <is>
          <t>Медведева Н.В.</t>
        </is>
      </c>
      <c r="C12" s="6" t="inlineStr">
        <is>
          <t>Как защитить личные данные</t>
        </is>
      </c>
      <c r="D12" s="5" t="inlineStr">
        <is>
          <t>Решено</t>
        </is>
      </c>
      <c r="E12" s="6" t="inlineStr">
        <is>
          <t>Чернов Матвей</t>
        </is>
      </c>
    </row>
    <row r="13">
      <c r="A13" s="3" t="n">
        <v>11</v>
      </c>
      <c r="B13" s="4" t="inlineStr">
        <is>
          <t>Карпов Д.С.</t>
        </is>
      </c>
      <c r="C13" s="4" t="inlineStr">
        <is>
          <t>Не приходит SMS с кодом</t>
        </is>
      </c>
      <c r="D13" s="3" t="inlineStr">
        <is>
          <t>В работе</t>
        </is>
      </c>
      <c r="E13" s="4" t="inlineStr">
        <is>
          <t>Комиссаров Илья</t>
        </is>
      </c>
    </row>
    <row r="14">
      <c r="A14" s="5" t="n">
        <v>12</v>
      </c>
      <c r="B14" s="6" t="inlineStr">
        <is>
          <t>Гусева Е.М.</t>
        </is>
      </c>
      <c r="C14" s="6" t="inlineStr">
        <is>
          <t>Как проверить штрафы ГИБДД</t>
        </is>
      </c>
      <c r="D14" s="5" t="inlineStr">
        <is>
          <t>Новое</t>
        </is>
      </c>
      <c r="E14" s="6" t="inlineStr">
        <is>
          <t>Чирков Костя</t>
        </is>
      </c>
    </row>
    <row r="16">
      <c r="B16" s="7" t="inlineStr">
        <is>
          <t>Статистика:</t>
        </is>
      </c>
    </row>
    <row r="17">
      <c r="B17" t="inlineStr">
        <is>
          <t>Всего обращений:</t>
        </is>
      </c>
      <c r="C17">
        <f>COUNTA(A3:A14)</f>
        <v/>
      </c>
    </row>
    <row r="18">
      <c r="B18" t="inlineStr">
        <is>
          <t>Решено:</t>
        </is>
      </c>
      <c r="C18">
        <f>COUNTIF(D3:D14,"Решено")</f>
        <v/>
      </c>
    </row>
    <row r="19">
      <c r="B19" t="inlineStr">
        <is>
          <t>В работе:</t>
        </is>
      </c>
      <c r="C19">
        <f>COUNTIF(D3:D14,"В работе")</f>
        <v/>
      </c>
    </row>
    <row r="20">
      <c r="B20" t="inlineStr">
        <is>
          <t>Новое:</t>
        </is>
      </c>
      <c r="C20">
        <f>COUNTIF(D3:D14,"Новое")</f>
        <v/>
      </c>
    </row>
  </sheetData>
  <autoFilter ref="A2:E14">
    <sortState ref="A2:E14">
      <sortCondition descending="0" ref="D3:D14"/>
    </sortState>
  </autoFilter>
  <mergeCells count="1">
    <mergeCell ref="A1:E1"/>
  </mergeCells>
  <conditionalFormatting sqref="D3:D14">
    <cfRule type="cellIs" priority="1" operator="equal" dxfId="0">
      <formula>"Решено"</formula>
    </cfRule>
    <cfRule type="cellIs" priority="2" operator="equal" dxfId="1">
      <formula>"В работе"</formula>
    </cfRule>
    <cfRule type="cellIs" priority="3" operator="equal" dxfId="2">
      <formula>"Новое"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2026-06-01T09:05:14Z</dcterms:created>
  <dcterms:modified xmlns:dcterms="http://purl.org/dc/terms/" xmlns:xsi="http://www.w3.org/2001/XMLSchema-instance" xsi:type="dcterms:W3CDTF">2026-06-01T09:05:14Z</dcterms:modified>
</cp:coreProperties>
</file>