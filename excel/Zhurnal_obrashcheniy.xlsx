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ращений" sheetId="1" state="visible" r:id="rId1"/>
    <sheet xmlns:r="http://schemas.openxmlformats.org/officeDocument/2006/relationships" name="Спис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2"/>
    </font>
    <font>
      <b val="1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Этап 4. Журнал обращений Центра цифровой поддержки (Команда 3)</t>
        </is>
      </c>
    </row>
    <row r="3" ht="26" customHeight="1">
      <c r="A3" s="2" t="inlineStr">
        <is>
          <t>ID</t>
        </is>
      </c>
      <c r="B3" s="2" t="inlineStr">
        <is>
          <t>Проблема</t>
        </is>
      </c>
      <c r="C3" s="2" t="inlineStr">
        <is>
          <t>Категория</t>
        </is>
      </c>
      <c r="D3" s="2" t="inlineStr">
        <is>
          <t>Приоритет</t>
        </is>
      </c>
      <c r="E3" s="2" t="inlineStr">
        <is>
          <t>Статус</t>
        </is>
      </c>
      <c r="F3" s="2" t="inlineStr">
        <is>
          <t>Ответственный</t>
        </is>
      </c>
    </row>
    <row r="4">
      <c r="A4" s="3" t="inlineStr">
        <is>
          <t>OBR-001</t>
        </is>
      </c>
      <c r="B4" s="4" t="inlineStr">
        <is>
          <t>Не удаётся восстановить пароль от почты</t>
        </is>
      </c>
      <c r="C4" s="3" t="inlineStr">
        <is>
          <t>Аккаунты</t>
        </is>
      </c>
      <c r="D4" s="3" t="inlineStr">
        <is>
          <t>Высокий</t>
        </is>
      </c>
      <c r="E4" s="3" t="inlineStr">
        <is>
          <t>Решёно</t>
        </is>
      </c>
      <c r="F4" s="3" t="inlineStr">
        <is>
          <t>Иванов</t>
        </is>
      </c>
    </row>
    <row r="5">
      <c r="A5" s="3" t="inlineStr">
        <is>
          <t>OBR-002</t>
        </is>
      </c>
      <c r="B5" s="4" t="inlineStr">
        <is>
          <t>Подозрительное письмо о блокировке</t>
        </is>
      </c>
      <c r="C5" s="3" t="inlineStr">
        <is>
          <t>Фишинг</t>
        </is>
      </c>
      <c r="D5" s="3" t="inlineStr">
        <is>
          <t>Критический</t>
        </is>
      </c>
      <c r="E5" s="3" t="inlineStr">
        <is>
          <t>В работе</t>
        </is>
      </c>
      <c r="F5" s="3" t="inlineStr">
        <is>
          <t>Петров</t>
        </is>
      </c>
    </row>
    <row r="6">
      <c r="A6" s="3" t="inlineStr">
        <is>
          <t>OBR-003</t>
        </is>
      </c>
      <c r="B6" s="4" t="inlineStr">
        <is>
          <t>Компьютер тормозит, всплывает реклама</t>
        </is>
      </c>
      <c r="C6" s="3" t="inlineStr">
        <is>
          <t>Вредоносное ПО</t>
        </is>
      </c>
      <c r="D6" s="3" t="inlineStr">
        <is>
          <t>Высокий</t>
        </is>
      </c>
      <c r="E6" s="3" t="inlineStr">
        <is>
          <t>В работе</t>
        </is>
      </c>
      <c r="F6" s="3" t="inlineStr">
        <is>
          <t>Сидоров</t>
        </is>
      </c>
    </row>
    <row r="7">
      <c r="A7" s="3" t="inlineStr">
        <is>
          <t>OBR-004</t>
        </is>
      </c>
      <c r="B7" s="4" t="inlineStr">
        <is>
          <t>Нужна помощь с регистрацией на Госуслугах</t>
        </is>
      </c>
      <c r="C7" s="3" t="inlineStr">
        <is>
          <t>Госуслуги</t>
        </is>
      </c>
      <c r="D7" s="3" t="inlineStr">
        <is>
          <t>Низкий</t>
        </is>
      </c>
      <c r="E7" s="3" t="inlineStr">
        <is>
          <t>Решёно</t>
        </is>
      </c>
      <c r="F7" s="3" t="inlineStr">
        <is>
          <t>Иванов</t>
        </is>
      </c>
    </row>
    <row r="8">
      <c r="A8" s="3" t="inlineStr">
        <is>
          <t>OBR-005</t>
        </is>
      </c>
      <c r="B8" s="4" t="inlineStr">
        <is>
          <t>Взломали электронную почту</t>
        </is>
      </c>
      <c r="C8" s="3" t="inlineStr">
        <is>
          <t>Аккаунты</t>
        </is>
      </c>
      <c r="D8" s="3" t="inlineStr">
        <is>
          <t>Критический</t>
        </is>
      </c>
      <c r="E8" s="3" t="inlineStr">
        <is>
          <t>Новое</t>
        </is>
      </c>
      <c r="F8" s="3" t="inlineStr">
        <is>
          <t>Петров</t>
        </is>
      </c>
    </row>
    <row r="9">
      <c r="A9" s="3" t="inlineStr">
        <is>
          <t>OBR-006</t>
        </is>
      </c>
      <c r="B9" s="4" t="inlineStr">
        <is>
          <t>Подозрительный интернет-магазин</t>
        </is>
      </c>
      <c r="C9" s="3" t="inlineStr">
        <is>
          <t>Мошенничество</t>
        </is>
      </c>
      <c r="D9" s="3" t="inlineStr">
        <is>
          <t>Средний</t>
        </is>
      </c>
      <c r="E9" s="3" t="inlineStr">
        <is>
          <t>Новое</t>
        </is>
      </c>
      <c r="F9" s="3" t="inlineStr">
        <is>
          <t>Сидоров</t>
        </is>
      </c>
    </row>
    <row r="10">
      <c r="A10" s="3" t="inlineStr">
        <is>
          <t>OBR-007</t>
        </is>
      </c>
      <c r="B10" s="4" t="inlineStr">
        <is>
          <t>Как установить ЭП в Госключе</t>
        </is>
      </c>
      <c r="C10" s="3" t="inlineStr">
        <is>
          <t>Эл. подпись</t>
        </is>
      </c>
      <c r="D10" s="3" t="inlineStr">
        <is>
          <t>Низкий</t>
        </is>
      </c>
      <c r="E10" s="3" t="inlineStr">
        <is>
          <t>В работе</t>
        </is>
      </c>
      <c r="F10" s="3" t="inlineStr">
        <is>
          <t>Иванов</t>
        </is>
      </c>
    </row>
    <row r="11">
      <c r="A11" s="3" t="inlineStr">
        <is>
          <t>OBR-008</t>
        </is>
      </c>
      <c r="B11" s="4" t="inlineStr">
        <is>
          <t>Утечка персональных данных</t>
        </is>
      </c>
      <c r="C11" s="3" t="inlineStr">
        <is>
          <t>Перс. данные</t>
        </is>
      </c>
      <c r="D11" s="3" t="inlineStr">
        <is>
          <t>Высокий</t>
        </is>
      </c>
      <c r="E11" s="3" t="inlineStr">
        <is>
          <t>В работе</t>
        </is>
      </c>
      <c r="F11" s="3" t="inlineStr">
        <is>
          <t>Петров</t>
        </is>
      </c>
    </row>
    <row r="12">
      <c r="A12" s="3" t="inlineStr">
        <is>
          <t>OBR-009</t>
        </is>
      </c>
      <c r="B12" s="4" t="inlineStr">
        <is>
          <t>Не открываются файлы (возм. шифровальщик)</t>
        </is>
      </c>
      <c r="C12" s="3" t="inlineStr">
        <is>
          <t>Вредоносное ПО</t>
        </is>
      </c>
      <c r="D12" s="3" t="inlineStr">
        <is>
          <t>Критический</t>
        </is>
      </c>
      <c r="E12" s="3" t="inlineStr">
        <is>
          <t>Новое</t>
        </is>
      </c>
      <c r="F12" s="3" t="inlineStr">
        <is>
          <t>Сидоров</t>
        </is>
      </c>
    </row>
    <row r="13">
      <c r="A13" s="3" t="inlineStr">
        <is>
          <t>OBR-010</t>
        </is>
      </c>
      <c r="B13" s="4" t="inlineStr">
        <is>
          <t>Вопрос по безопасным онлайн-покупкам</t>
        </is>
      </c>
      <c r="C13" s="3" t="inlineStr">
        <is>
          <t>Обучение</t>
        </is>
      </c>
      <c r="D13" s="3" t="inlineStr">
        <is>
          <t>Низкий</t>
        </is>
      </c>
      <c r="E13" s="3" t="inlineStr">
        <is>
          <t>Решёно</t>
        </is>
      </c>
      <c r="F13" s="3" t="inlineStr">
        <is>
          <t>Иванов</t>
        </is>
      </c>
    </row>
    <row r="14">
      <c r="A14" s="3" t="inlineStr">
        <is>
          <t>OBR-011</t>
        </is>
      </c>
      <c r="B14" s="4" t="inlineStr">
        <is>
          <t>Звонок от «службы безопасности банка»</t>
        </is>
      </c>
      <c r="C14" s="3" t="inlineStr">
        <is>
          <t>Соц. инженерия</t>
        </is>
      </c>
      <c r="D14" s="3" t="inlineStr">
        <is>
          <t>Высокий</t>
        </is>
      </c>
      <c r="E14" s="3" t="inlineStr">
        <is>
          <t>В работе</t>
        </is>
      </c>
      <c r="F14" s="3" t="inlineStr">
        <is>
          <t>Петров</t>
        </is>
      </c>
    </row>
    <row r="15">
      <c r="A15" s="3" t="inlineStr">
        <is>
          <t>OBR-012</t>
        </is>
      </c>
      <c r="B15" s="4" t="inlineStr">
        <is>
          <t>Установка антивируса на ноутбук</t>
        </is>
      </c>
      <c r="C15" s="3" t="inlineStr">
        <is>
          <t>Обучение</t>
        </is>
      </c>
      <c r="D15" s="3" t="inlineStr">
        <is>
          <t>Средний</t>
        </is>
      </c>
      <c r="E15" s="3" t="inlineStr">
        <is>
          <t>Решёно</t>
        </is>
      </c>
      <c r="F15" s="3" t="inlineStr">
        <is>
          <t>Сидоров</t>
        </is>
      </c>
    </row>
    <row r="17">
      <c r="A17" s="5" t="inlineStr">
        <is>
          <t>СВОДНАЯ СТАТИСТИКА</t>
        </is>
      </c>
    </row>
    <row r="18">
      <c r="A18" s="6" t="inlineStr">
        <is>
          <t>Всего обращений:</t>
        </is>
      </c>
      <c r="B18" s="7">
        <f>COUNTA(A4:A200)</f>
        <v/>
      </c>
    </row>
    <row r="19">
      <c r="A19" s="6" t="inlineStr">
        <is>
          <t>Новые:</t>
        </is>
      </c>
      <c r="B19" s="7">
        <f>COUNTIF(E4:E200,"Новое")</f>
        <v/>
      </c>
    </row>
    <row r="20">
      <c r="A20" s="6" t="inlineStr">
        <is>
          <t>В работе:</t>
        </is>
      </c>
      <c r="B20" s="7">
        <f>COUNTIF(E4:E200,"В работе")</f>
        <v/>
      </c>
    </row>
    <row r="21">
      <c r="A21" s="6" t="inlineStr">
        <is>
          <t>Решёно:</t>
        </is>
      </c>
      <c r="B21" s="7">
        <f>COUNTIF(E4:E200,"Решёно")</f>
        <v/>
      </c>
    </row>
    <row r="22">
      <c r="A22" s="6" t="inlineStr">
        <is>
          <t>Критических:</t>
        </is>
      </c>
      <c r="B22" s="7">
        <f>COUNTIF(D4:D200,"Критический")</f>
        <v/>
      </c>
    </row>
    <row r="23">
      <c r="A23" s="6" t="inlineStr">
        <is>
          <t>Высокий приоритет:</t>
        </is>
      </c>
      <c r="B23" s="7">
        <f>COUNTIF(D4:D200,"Высокий")</f>
        <v/>
      </c>
    </row>
  </sheetData>
  <mergeCells count="1">
    <mergeCell ref="A1:F1"/>
  </mergeCells>
  <conditionalFormatting sqref="D4:D200">
    <cfRule type="cellIs" priority="1" operator="equal" dxfId="0">
      <formula>"Критический"</formula>
    </cfRule>
    <cfRule type="cellIs" priority="2" operator="equal" dxfId="1">
      <formula>"Высокий"</formula>
    </cfRule>
    <cfRule type="cellIs" priority="3" operator="equal" dxfId="2">
      <formula>"Средний"</formula>
    </cfRule>
    <cfRule type="cellIs" priority="4" operator="equal" dxfId="3">
      <formula>"Низкий"</formula>
    </cfRule>
  </conditionalFormatting>
  <conditionalFormatting sqref="E4:E200">
    <cfRule type="cellIs" priority="5" operator="equal" dxfId="4">
      <formula>"Решёно"</formula>
    </cfRule>
    <cfRule type="cellIs" priority="6" operator="equal" dxfId="5">
      <formula>"В работе"</formula>
    </cfRule>
    <cfRule type="cellIs" priority="7" operator="equal" dxfId="2">
      <formula>"Новое"</formula>
    </cfRule>
    <cfRule type="cellIs" priority="8" operator="equal" dxfId="6">
      <formula>"Отклонено"</formula>
    </cfRule>
  </conditionalFormatting>
  <dataValidations count="4">
    <dataValidation sqref="C4:C200" showDropDown="0" showInputMessage="0" showErrorMessage="0" allowBlank="1" type="list">
      <formula1>=Списки!$A$2:$A$10</formula1>
    </dataValidation>
    <dataValidation sqref="D4:D200" showDropDown="0" showInputMessage="0" showErrorMessage="0" allowBlank="1" type="list">
      <formula1>=Списки!$B$2:$B$5</formula1>
    </dataValidation>
    <dataValidation sqref="E4:E200" showDropDown="0" showInputMessage="0" showErrorMessage="0" allowBlank="1" type="list">
      <formula1>=Списки!$C$2:$C$5</formula1>
    </dataValidation>
    <dataValidation sqref="F4:F200" showDropDown="0" showInputMessage="0" showErrorMessage="0" allowBlank="1" type="list">
      <formula1>=Списки!$D$2:$D$4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Категории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Ответственный</t>
        </is>
      </c>
    </row>
    <row r="2">
      <c r="A2" t="inlineStr">
        <is>
          <t>Аккаунты</t>
        </is>
      </c>
      <c r="B2" t="inlineStr">
        <is>
          <t>Низкий</t>
        </is>
      </c>
      <c r="C2" t="inlineStr">
        <is>
          <t>Новое</t>
        </is>
      </c>
      <c r="D2" t="inlineStr">
        <is>
          <t>Иванов</t>
        </is>
      </c>
    </row>
    <row r="3">
      <c r="A3" t="inlineStr">
        <is>
          <t>Фишинг</t>
        </is>
      </c>
      <c r="B3" t="inlineStr">
        <is>
          <t>Средний</t>
        </is>
      </c>
      <c r="C3" t="inlineStr">
        <is>
          <t>В работе</t>
        </is>
      </c>
      <c r="D3" t="inlineStr">
        <is>
          <t>Петров</t>
        </is>
      </c>
    </row>
    <row r="4">
      <c r="A4" t="inlineStr">
        <is>
          <t>Вредоносное ПО</t>
        </is>
      </c>
      <c r="B4" t="inlineStr">
        <is>
          <t>Высокий</t>
        </is>
      </c>
      <c r="C4" t="inlineStr">
        <is>
          <t>Решёно</t>
        </is>
      </c>
      <c r="D4" t="inlineStr">
        <is>
          <t>Сидоров</t>
        </is>
      </c>
    </row>
    <row r="5">
      <c r="A5" t="inlineStr">
        <is>
          <t>Госуслуги</t>
        </is>
      </c>
      <c r="B5" t="inlineStr">
        <is>
          <t>Критический</t>
        </is>
      </c>
      <c r="C5" t="inlineStr">
        <is>
          <t>Отклонено</t>
        </is>
      </c>
    </row>
    <row r="6">
      <c r="A6" t="inlineStr">
        <is>
          <t>Эл. подпись</t>
        </is>
      </c>
    </row>
    <row r="7">
      <c r="A7" t="inlineStr">
        <is>
          <t>Перс. данные</t>
        </is>
      </c>
    </row>
    <row r="8">
      <c r="A8" t="inlineStr">
        <is>
          <t>Мошенничество</t>
        </is>
      </c>
    </row>
    <row r="9">
      <c r="A9" t="inlineStr">
        <is>
          <t>Соц. инженерия</t>
        </is>
      </c>
    </row>
    <row r="10">
      <c r="A10" t="inlineStr">
        <is>
          <t>Обучение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2026-06-02T08:30:39Z</dcterms:created>
  <dcterms:modified xmlns:dcterms="http://purl.org/dc/terms/" xmlns:xsi="http://www.w3.org/2001/XMLSchema-instance" xsi:type="dcterms:W3CDTF">2026-06-02T08:30:39Z</dcterms:modified>
</cp:coreProperties>
</file>